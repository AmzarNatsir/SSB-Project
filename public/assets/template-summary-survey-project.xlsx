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/>
  <mc:AlternateContent xmlns:mc="http://schemas.openxmlformats.org/markup-compatibility/2006">
    <mc:Choice Requires="x15">
      <x15ac:absPath xmlns:x15ac="http://schemas.microsoft.com/office/spreadsheetml/2010/11/ac" url="H:\Work\on progress job\Managament Development\IMACCA\scoring plan project\"/>
    </mc:Choice>
  </mc:AlternateContent>
  <xr:revisionPtr revIDLastSave="0" documentId="13_ncr:1_{D8A30D1B-4C70-4EEC-B1AA-C1DA953876CF}" xr6:coauthVersionLast="47" xr6:coauthVersionMax="47" xr10:uidLastSave="{00000000-0000-0000-0000-000000000000}"/>
  <bookViews>
    <workbookView xWindow="-96" yWindow="-96" windowWidth="23232" windowHeight="12432" xr2:uid="{A26631DC-18F4-4BBE-A1CC-C039D2E36335}"/>
  </bookViews>
  <sheets>
    <sheet name="Scores" sheetId="3" r:id="rId1"/>
    <sheet name="Weightings" sheetId="2" r:id="rId2"/>
    <sheet name="List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" i="3" l="1"/>
  <c r="Y5" i="3"/>
  <c r="X5" i="3"/>
  <c r="W5" i="3"/>
  <c r="S6" i="3"/>
  <c r="T6" i="3"/>
  <c r="U6" i="3"/>
  <c r="V6" i="3"/>
  <c r="R6" i="3"/>
  <c r="N6" i="3"/>
  <c r="O6" i="3"/>
  <c r="P6" i="3"/>
  <c r="Q6" i="3"/>
  <c r="M6" i="3"/>
  <c r="I6" i="3"/>
  <c r="J6" i="3"/>
  <c r="K6" i="3"/>
  <c r="L6" i="3"/>
  <c r="H6" i="3"/>
  <c r="S5" i="3"/>
  <c r="T5" i="3"/>
  <c r="U5" i="3"/>
  <c r="V5" i="3"/>
  <c r="R5" i="3"/>
  <c r="N5" i="3"/>
  <c r="O5" i="3"/>
  <c r="P5" i="3"/>
  <c r="Q5" i="3"/>
  <c r="M5" i="3"/>
  <c r="I5" i="3"/>
  <c r="J5" i="3"/>
  <c r="K5" i="3"/>
  <c r="L5" i="3"/>
  <c r="Y9" i="3" l="1"/>
  <c r="X20" i="3"/>
  <c r="W17" i="3"/>
  <c r="W18" i="3"/>
  <c r="Y12" i="3"/>
  <c r="W11" i="3"/>
  <c r="W15" i="3"/>
  <c r="W14" i="3"/>
  <c r="X18" i="3"/>
  <c r="Y10" i="3"/>
  <c r="X8" i="3"/>
  <c r="X21" i="3"/>
  <c r="X9" i="3"/>
  <c r="W16" i="3"/>
  <c r="X19" i="3"/>
  <c r="W13" i="3"/>
  <c r="X17" i="3"/>
  <c r="Y20" i="3"/>
  <c r="Y8" i="3"/>
  <c r="W12" i="3"/>
  <c r="X16" i="3"/>
  <c r="Y19" i="3"/>
  <c r="W6" i="3"/>
  <c r="X15" i="3"/>
  <c r="Y18" i="3"/>
  <c r="X6" i="3"/>
  <c r="X14" i="3"/>
  <c r="Y6" i="3"/>
  <c r="W21" i="3"/>
  <c r="Y17" i="3"/>
  <c r="X13" i="3"/>
  <c r="W20" i="3"/>
  <c r="Y15" i="3"/>
  <c r="W19" i="3"/>
  <c r="W7" i="3"/>
  <c r="X11" i="3"/>
  <c r="Y14" i="3"/>
  <c r="W10" i="3"/>
  <c r="W9" i="3"/>
  <c r="Y16" i="3"/>
  <c r="W8" i="3"/>
  <c r="X12" i="3"/>
  <c r="X7" i="3"/>
  <c r="X10" i="3"/>
  <c r="Y13" i="3"/>
  <c r="Y11" i="3"/>
  <c r="Y7" i="3"/>
  <c r="Y21" i="3"/>
  <c r="Z19" i="3"/>
  <c r="Z18" i="3"/>
  <c r="Z16" i="3"/>
  <c r="Z13" i="3"/>
  <c r="Z12" i="3"/>
  <c r="Z17" i="3"/>
  <c r="Z14" i="3"/>
  <c r="Z6" i="3"/>
  <c r="Z11" i="3"/>
  <c r="Z7" i="3"/>
  <c r="Z10" i="3"/>
  <c r="Z9" i="3"/>
  <c r="Z15" i="3"/>
  <c r="Z21" i="3"/>
  <c r="Z20" i="3"/>
  <c r="Z8" i="3"/>
  <c r="AA12" i="3" l="1"/>
  <c r="AA8" i="3"/>
  <c r="AA15" i="3"/>
  <c r="AA16" i="3"/>
  <c r="AA7" i="3"/>
  <c r="AA21" i="3"/>
  <c r="AA20" i="3"/>
  <c r="AA17" i="3"/>
  <c r="AA18" i="3"/>
  <c r="AA11" i="3"/>
  <c r="AA10" i="3"/>
  <c r="AA13" i="3"/>
  <c r="AA19" i="3"/>
  <c r="AA9" i="3"/>
  <c r="AA14" i="3"/>
  <c r="G13" i="2" l="1"/>
  <c r="N11" i="2" l="1"/>
  <c r="N8" i="2"/>
  <c r="N5" i="2"/>
</calcChain>
</file>

<file path=xl/sharedStrings.xml><?xml version="1.0" encoding="utf-8"?>
<sst xmlns="http://schemas.openxmlformats.org/spreadsheetml/2006/main" count="60" uniqueCount="50">
  <si>
    <t xml:space="preserve"> </t>
  </si>
  <si>
    <t>*</t>
  </si>
  <si>
    <t>(</t>
  </si>
  <si>
    <r>
      <rPr>
        <sz val="12"/>
        <color theme="0" tint="-0.499984740745262"/>
        <rFont val="Webdings"/>
        <family val="1"/>
        <charset val="2"/>
      </rPr>
      <t>H</t>
    </r>
    <r>
      <rPr>
        <sz val="12"/>
        <color theme="0" tint="-0.499984740745262"/>
        <rFont val="Open Sans"/>
        <family val="2"/>
      </rPr>
      <t xml:space="preserve"> </t>
    </r>
  </si>
  <si>
    <t>TOTAL</t>
  </si>
  <si>
    <t>SKOR</t>
  </si>
  <si>
    <r>
      <t xml:space="preserve">INISIATIF </t>
    </r>
    <r>
      <rPr>
        <b/>
        <sz val="20"/>
        <color theme="9"/>
        <rFont val="Webdings"/>
        <family val="1"/>
        <charset val="2"/>
      </rPr>
      <t>4</t>
    </r>
  </si>
  <si>
    <t>Bobot (Dihitung)</t>
  </si>
  <si>
    <t>Judul Projek  1</t>
  </si>
  <si>
    <t>Judul Projek  2</t>
  </si>
  <si>
    <t>Judul Projek  3</t>
  </si>
  <si>
    <t>Judul Projek  4</t>
  </si>
  <si>
    <t>Judul Projek  5</t>
  </si>
  <si>
    <t>Judul Projek  6</t>
  </si>
  <si>
    <t>Judul Projek  7</t>
  </si>
  <si>
    <t>Judul Projek  8</t>
  </si>
  <si>
    <t>Judul Projek  9</t>
  </si>
  <si>
    <t>Judul Projek  10</t>
  </si>
  <si>
    <t>Judul Projek  11</t>
  </si>
  <si>
    <t>Judul Projek  12</t>
  </si>
  <si>
    <t>Judul Projek  13</t>
  </si>
  <si>
    <t>Judul Projek  14</t>
  </si>
  <si>
    <t>Judul Projek  15</t>
  </si>
  <si>
    <t>INISIATIF</t>
  </si>
  <si>
    <t>S-Kreteria 1</t>
  </si>
  <si>
    <t>S-Kreteria 2</t>
  </si>
  <si>
    <t>S-Kreteria 3</t>
  </si>
  <si>
    <t>S-Kreteria 4</t>
  </si>
  <si>
    <t>S-Kreteria 5</t>
  </si>
  <si>
    <t>Persen</t>
  </si>
  <si>
    <t>(021)</t>
  </si>
  <si>
    <t>www.perusahaan.com</t>
  </si>
  <si>
    <r>
      <t xml:space="preserve">JUDUL PROJEK </t>
    </r>
    <r>
      <rPr>
        <b/>
        <sz val="20"/>
        <color theme="2" tint="-0.499984740745262"/>
        <rFont val="Webdings"/>
        <family val="1"/>
        <charset val="2"/>
      </rPr>
      <t>6</t>
    </r>
  </si>
  <si>
    <r>
      <rPr>
        <b/>
        <sz val="12"/>
        <color theme="0"/>
        <rFont val="Webdings"/>
        <family val="1"/>
        <charset val="2"/>
      </rPr>
      <t>3</t>
    </r>
    <r>
      <rPr>
        <b/>
        <sz val="12"/>
        <color theme="0"/>
        <rFont val="Bahnschrift"/>
        <family val="2"/>
      </rPr>
      <t xml:space="preserve"> Peringkat Prioritas</t>
    </r>
  </si>
  <si>
    <r>
      <rPr>
        <b/>
        <sz val="12"/>
        <color theme="0"/>
        <rFont val="Webdings"/>
        <family val="1"/>
        <charset val="2"/>
      </rPr>
      <t>3</t>
    </r>
    <r>
      <rPr>
        <b/>
        <sz val="12"/>
        <color theme="0"/>
        <rFont val="Bahnschrift"/>
        <family val="2"/>
      </rPr>
      <t xml:space="preserve"> Penilaian Berbobot</t>
    </r>
  </si>
  <si>
    <t>email@perusahaan.com</t>
  </si>
  <si>
    <t>Bobot</t>
  </si>
  <si>
    <t>PROJECT</t>
  </si>
  <si>
    <t>WORKSHOP</t>
  </si>
  <si>
    <t>H S E</t>
  </si>
  <si>
    <t>P-Kreteria 1</t>
  </si>
  <si>
    <t>P-Kreteria 2</t>
  </si>
  <si>
    <t>P-Kreteria 3</t>
  </si>
  <si>
    <t>P-Kreteria 4</t>
  </si>
  <si>
    <t>P-Kreteria 5</t>
  </si>
  <si>
    <t>W-Kreteria 1</t>
  </si>
  <si>
    <t>W-Kreteria 2</t>
  </si>
  <si>
    <t>W-Kreteria 3</t>
  </si>
  <si>
    <t>W-Kreteria 4</t>
  </si>
  <si>
    <t>W-Kreteria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</si>
</sst>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>
    <font>
      <sz val="11"/>
      <color theme="1"/>
      <name val="Calibri"/>
      <family val="2"/>
      <scheme val="minor"/>
    </font>
    <font>
      <sz val="11"/>
      <color theme="1"/>
      <name val="Open Sans"/>
      <family val="2"/>
    </font>
    <font>
      <sz val="22"/>
      <color theme="2"/>
      <name val="Open Sans"/>
      <family val="2"/>
    </font>
    <font>
      <sz val="8"/>
      <name val="Calibri"/>
      <family val="2"/>
      <scheme val="minor"/>
    </font>
    <font>
      <sz val="11"/>
      <color theme="1" tint="0.249977111117893"/>
      <name val="Calibri"/>
      <family val="2"/>
      <scheme val="minor"/>
    </font>
    <font>
      <sz val="12"/>
      <color theme="0" tint="-0.499984740745262"/>
      <name val="Wingdings"/>
      <charset val="2"/>
    </font>
    <font>
      <sz val="12"/>
      <color theme="0" tint="-0.499984740745262"/>
      <name val="Open Sans"/>
      <family val="1"/>
      <charset val="2"/>
    </font>
    <font>
      <sz val="12"/>
      <color theme="0" tint="-0.499984740745262"/>
      <name val="Webdings"/>
      <family val="1"/>
      <charset val="2"/>
    </font>
    <font>
      <sz val="12"/>
      <color theme="0" tint="-0.499984740745262"/>
      <name val="Open Sans"/>
      <family val="2"/>
    </font>
    <font>
      <sz val="11"/>
      <color theme="9"/>
      <name val="Bahnschrift"/>
      <family val="2"/>
    </font>
    <font>
      <sz val="12"/>
      <color theme="9"/>
      <name val="Bahnschrift"/>
      <family val="2"/>
    </font>
    <font>
      <sz val="11"/>
      <color theme="1"/>
      <name val="Calibri"/>
      <family val="2"/>
      <scheme val="minor"/>
    </font>
    <font>
      <b/>
      <sz val="20"/>
      <color theme="9"/>
      <name val="Bahnschrift"/>
      <family val="2"/>
    </font>
    <font>
      <b/>
      <sz val="20"/>
      <color theme="9"/>
      <name val="Webdings"/>
      <family val="1"/>
      <charset val="2"/>
    </font>
    <font>
      <b/>
      <sz val="12"/>
      <color theme="0"/>
      <name val="Bahnschrift"/>
      <family val="1"/>
      <charset val="2"/>
    </font>
    <font>
      <b/>
      <sz val="12"/>
      <color theme="0"/>
      <name val="Webdings"/>
      <family val="1"/>
      <charset val="2"/>
    </font>
    <font>
      <b/>
      <sz val="12"/>
      <color theme="0"/>
      <name val="Bahnschrift"/>
      <family val="2"/>
    </font>
    <font>
      <sz val="14"/>
      <color theme="1"/>
      <name val="Calibri"/>
      <family val="2"/>
      <scheme val="minor"/>
    </font>
    <font>
      <b/>
      <sz val="18"/>
      <color theme="0"/>
      <name val="Bahnschrift"/>
      <family val="2"/>
    </font>
    <font>
      <sz val="11"/>
      <color theme="1"/>
      <name val="Bahnschrift"/>
      <family val="2"/>
    </font>
    <font>
      <sz val="16"/>
      <color theme="1" tint="0.499984740745262"/>
      <name val="Bahnschrift"/>
      <family val="2"/>
    </font>
    <font>
      <b/>
      <sz val="18"/>
      <color theme="9"/>
      <name val="Bahnschrift"/>
      <family val="2"/>
    </font>
    <font>
      <sz val="11"/>
      <color theme="4" tint="-0.249977111117893"/>
      <name val="Bahnschrift"/>
      <family val="2"/>
    </font>
    <font>
      <sz val="11"/>
      <color theme="6" tint="-0.249977111117893"/>
      <name val="Bahnschrift"/>
      <family val="2"/>
    </font>
    <font>
      <sz val="11"/>
      <color theme="7" tint="-0.499984740745262"/>
      <name val="Bahnschrift"/>
      <family val="2"/>
    </font>
    <font>
      <sz val="12"/>
      <color theme="0"/>
      <name val="Bahnschrift"/>
      <family val="2"/>
    </font>
    <font>
      <b/>
      <sz val="14"/>
      <color theme="0"/>
      <name val="Bahnschrift"/>
      <family val="2"/>
    </font>
    <font>
      <sz val="14"/>
      <color theme="8" tint="-0.249977111117893"/>
      <name val="Bahnschrift"/>
      <family val="2"/>
    </font>
    <font>
      <sz val="14"/>
      <color theme="0"/>
      <name val="Bahnschrift"/>
      <family val="2"/>
    </font>
    <font>
      <sz val="14"/>
      <color theme="8" tint="0.39997558519241921"/>
      <name val="Bahnschrift"/>
      <family val="2"/>
    </font>
    <font>
      <sz val="14"/>
      <color theme="1"/>
      <name val="Bahnschrift"/>
      <family val="2"/>
    </font>
    <font>
      <sz val="12"/>
      <color theme="2" tint="-0.499984740745262"/>
      <name val="Bahnschrift"/>
      <family val="2"/>
    </font>
    <font>
      <b/>
      <sz val="20"/>
      <color theme="2" tint="-0.499984740745262"/>
      <name val="Bahnschrift"/>
      <family val="2"/>
    </font>
    <font>
      <b/>
      <sz val="20"/>
      <color theme="2" tint="-0.499984740745262"/>
      <name val="Webdings"/>
      <family val="1"/>
      <charset val="2"/>
    </font>
    <font>
      <u/>
      <sz val="11"/>
      <color theme="10"/>
      <name val="Calibri"/>
      <family val="2"/>
      <scheme val="minor"/>
    </font>
    <font>
      <sz val="11"/>
      <color theme="3" tint="0.249977111117893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8999908444471571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81E2"/>
        <bgColor indexed="64"/>
      </patternFill>
    </fill>
    <fill>
      <patternFill patternType="solid">
        <fgColor rgb="FF0078D2"/>
        <bgColor indexed="64"/>
      </patternFill>
    </fill>
    <fill>
      <patternFill patternType="solid">
        <fgColor rgb="FF0062AC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F5FC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</borders>
  <cellStyleXfs count="3">
    <xf numFmtId="0" fontId="0" fillId="0" borderId="0"/>
    <xf numFmtId="9" fontId="11" fillId="0" borderId="0" applyFont="0" applyFill="0" applyBorder="0" applyAlignment="0" applyProtection="0"/>
    <xf numFmtId="0" fontId="34" fillId="0" borderId="0" applyNumberFormat="0" applyFill="0" applyBorder="0" applyAlignment="0" applyProtection="0"/>
  </cellStyleXfs>
  <cellXfs count="73">
    <xf numFmtId="0" fontId="0" fillId="0" borderId="0" xfId="0"/>
    <xf numFmtId="0" fontId="2" fillId="3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7" borderId="1" xfId="0" applyFont="1" applyFill="1" applyBorder="1" applyAlignment="1">
      <alignment vertical="center" textRotation="135"/>
    </xf>
    <xf numFmtId="0" fontId="1" fillId="8" borderId="2" xfId="0" applyFont="1" applyFill="1" applyBorder="1" applyAlignment="1">
      <alignment vertical="center" textRotation="135"/>
    </xf>
    <xf numFmtId="0" fontId="1" fillId="9" borderId="4" xfId="0" applyFont="1" applyFill="1" applyBorder="1" applyAlignment="1">
      <alignment vertical="center" textRotation="135"/>
    </xf>
    <xf numFmtId="0" fontId="1" fillId="5" borderId="3" xfId="0" applyFont="1" applyFill="1" applyBorder="1" applyAlignment="1">
      <alignment vertical="center"/>
    </xf>
    <xf numFmtId="0" fontId="1" fillId="5" borderId="0" xfId="0" applyFont="1" applyFill="1" applyAlignment="1">
      <alignment vertical="center"/>
    </xf>
    <xf numFmtId="0" fontId="5" fillId="10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9" fillId="4" borderId="5" xfId="0" applyFont="1" applyFill="1" applyBorder="1" applyAlignment="1">
      <alignment horizontal="center" vertical="center" textRotation="90"/>
    </xf>
    <xf numFmtId="9" fontId="0" fillId="0" borderId="0" xfId="1" applyFont="1"/>
    <xf numFmtId="9" fontId="9" fillId="13" borderId="5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 indent="1"/>
    </xf>
    <xf numFmtId="0" fontId="14" fillId="11" borderId="8" xfId="0" applyFont="1" applyFill="1" applyBorder="1" applyAlignment="1">
      <alignment horizontal="center" textRotation="90"/>
    </xf>
    <xf numFmtId="0" fontId="19" fillId="0" borderId="0" xfId="0" applyFont="1"/>
    <xf numFmtId="9" fontId="9" fillId="16" borderId="5" xfId="1" applyFont="1" applyFill="1" applyBorder="1" applyAlignment="1">
      <alignment horizontal="center" vertical="center"/>
    </xf>
    <xf numFmtId="9" fontId="9" fillId="17" borderId="5" xfId="1" applyFont="1" applyFill="1" applyBorder="1" applyAlignment="1">
      <alignment horizontal="center" vertical="center"/>
    </xf>
    <xf numFmtId="0" fontId="19" fillId="0" borderId="5" xfId="0" applyFont="1" applyBorder="1"/>
    <xf numFmtId="0" fontId="18" fillId="0" borderId="5" xfId="0" applyFont="1" applyBorder="1" applyAlignment="1">
      <alignment horizontal="center" vertical="center"/>
    </xf>
    <xf numFmtId="9" fontId="16" fillId="0" borderId="5" xfId="0" applyNumberFormat="1" applyFont="1" applyBorder="1" applyAlignment="1">
      <alignment horizontal="center" vertical="center"/>
    </xf>
    <xf numFmtId="0" fontId="16" fillId="18" borderId="5" xfId="0" applyFont="1" applyFill="1" applyBorder="1" applyAlignment="1">
      <alignment horizontal="center" vertical="center"/>
    </xf>
    <xf numFmtId="0" fontId="20" fillId="15" borderId="5" xfId="0" applyFont="1" applyFill="1" applyBorder="1" applyAlignment="1">
      <alignment horizontal="center" vertical="center"/>
    </xf>
    <xf numFmtId="9" fontId="16" fillId="6" borderId="5" xfId="0" applyNumberFormat="1" applyFont="1" applyFill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16" fillId="19" borderId="5" xfId="0" applyFont="1" applyFill="1" applyBorder="1" applyAlignment="1">
      <alignment horizontal="center" vertical="center"/>
    </xf>
    <xf numFmtId="9" fontId="16" fillId="14" borderId="5" xfId="0" applyNumberFormat="1" applyFont="1" applyFill="1" applyBorder="1" applyAlignment="1">
      <alignment horizontal="center" vertical="center"/>
    </xf>
    <xf numFmtId="0" fontId="16" fillId="20" borderId="5" xfId="0" applyFont="1" applyFill="1" applyBorder="1" applyAlignment="1">
      <alignment horizontal="center" vertical="center"/>
    </xf>
    <xf numFmtId="9" fontId="16" fillId="12" borderId="5" xfId="0" applyNumberFormat="1" applyFont="1" applyFill="1" applyBorder="1" applyAlignment="1">
      <alignment horizontal="center" vertical="center"/>
    </xf>
    <xf numFmtId="0" fontId="16" fillId="21" borderId="5" xfId="0" applyFont="1" applyFill="1" applyBorder="1" applyAlignment="1">
      <alignment horizontal="center" vertical="center"/>
    </xf>
    <xf numFmtId="9" fontId="21" fillId="15" borderId="5" xfId="0" applyNumberFormat="1" applyFont="1" applyFill="1" applyBorder="1" applyAlignment="1">
      <alignment horizontal="center" vertical="center"/>
    </xf>
    <xf numFmtId="0" fontId="14" fillId="23" borderId="8" xfId="0" applyFont="1" applyFill="1" applyBorder="1" applyAlignment="1">
      <alignment horizontal="center" textRotation="90"/>
    </xf>
    <xf numFmtId="0" fontId="22" fillId="16" borderId="5" xfId="0" applyFont="1" applyFill="1" applyBorder="1" applyAlignment="1">
      <alignment horizontal="center" vertical="center" textRotation="90"/>
    </xf>
    <xf numFmtId="0" fontId="22" fillId="4" borderId="5" xfId="0" applyFont="1" applyFill="1" applyBorder="1" applyAlignment="1">
      <alignment horizontal="center" vertical="center" textRotation="90"/>
    </xf>
    <xf numFmtId="0" fontId="23" fillId="13" borderId="5" xfId="0" applyFont="1" applyFill="1" applyBorder="1" applyAlignment="1">
      <alignment horizontal="center" vertical="center" textRotation="90"/>
    </xf>
    <xf numFmtId="0" fontId="23" fillId="4" borderId="5" xfId="0" applyFont="1" applyFill="1" applyBorder="1" applyAlignment="1">
      <alignment horizontal="center" vertical="center" textRotation="90"/>
    </xf>
    <xf numFmtId="0" fontId="24" fillId="17" borderId="5" xfId="0" applyFont="1" applyFill="1" applyBorder="1" applyAlignment="1">
      <alignment horizontal="center" vertical="center" textRotation="90"/>
    </xf>
    <xf numFmtId="0" fontId="24" fillId="4" borderId="5" xfId="0" applyFont="1" applyFill="1" applyBorder="1" applyAlignment="1">
      <alignment horizontal="center" vertical="center" textRotation="90"/>
    </xf>
    <xf numFmtId="9" fontId="27" fillId="26" borderId="5" xfId="0" applyNumberFormat="1" applyFont="1" applyFill="1" applyBorder="1" applyAlignment="1">
      <alignment horizontal="center" vertical="center"/>
    </xf>
    <xf numFmtId="0" fontId="17" fillId="0" borderId="0" xfId="0" applyFont="1"/>
    <xf numFmtId="9" fontId="29" fillId="22" borderId="5" xfId="0" applyNumberFormat="1" applyFont="1" applyFill="1" applyBorder="1" applyAlignment="1">
      <alignment horizontal="center" vertical="center"/>
    </xf>
    <xf numFmtId="0" fontId="30" fillId="0" borderId="0" xfId="0" applyFont="1" applyAlignment="1">
      <alignment vertical="center"/>
    </xf>
    <xf numFmtId="0" fontId="10" fillId="16" borderId="5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13" borderId="5" xfId="0" applyFont="1" applyFill="1" applyBorder="1" applyAlignment="1">
      <alignment horizontal="center" vertical="center"/>
    </xf>
    <xf numFmtId="0" fontId="10" fillId="17" borderId="5" xfId="0" applyFont="1" applyFill="1" applyBorder="1" applyAlignment="1">
      <alignment horizontal="center" vertical="center"/>
    </xf>
    <xf numFmtId="0" fontId="10" fillId="27" borderId="5" xfId="0" applyFont="1" applyFill="1" applyBorder="1" applyAlignment="1">
      <alignment horizontal="center" vertical="center"/>
    </xf>
    <xf numFmtId="0" fontId="25" fillId="24" borderId="5" xfId="0" applyFont="1" applyFill="1" applyBorder="1" applyAlignment="1">
      <alignment horizontal="center" vertical="center"/>
    </xf>
    <xf numFmtId="0" fontId="31" fillId="2" borderId="6" xfId="0" applyFont="1" applyFill="1" applyBorder="1" applyAlignment="1">
      <alignment horizontal="left" vertical="center" indent="1"/>
    </xf>
    <xf numFmtId="0" fontId="10" fillId="29" borderId="5" xfId="0" applyFont="1" applyFill="1" applyBorder="1" applyAlignment="1">
      <alignment horizontal="center" vertical="center"/>
    </xf>
    <xf numFmtId="0" fontId="9" fillId="25" borderId="8" xfId="0" applyFont="1" applyFill="1" applyBorder="1" applyAlignment="1">
      <alignment horizontal="center" vertical="center" textRotation="90"/>
    </xf>
    <xf numFmtId="0" fontId="35" fillId="4" borderId="0" xfId="2" applyFont="1" applyFill="1" applyAlignment="1">
      <alignment horizontal="left" vertical="center" indent="1"/>
    </xf>
    <xf numFmtId="0" fontId="35" fillId="4" borderId="0" xfId="0" applyFont="1" applyFill="1" applyAlignment="1">
      <alignment horizontal="left" vertical="center" indent="1"/>
    </xf>
    <xf numFmtId="0" fontId="4" fillId="4" borderId="0" xfId="0" quotePrefix="1" applyFont="1" applyFill="1" applyAlignment="1">
      <alignment horizontal="left" vertical="center" indent="1"/>
    </xf>
    <xf numFmtId="0" fontId="4" fillId="4" borderId="0" xfId="0" applyFont="1" applyFill="1" applyAlignment="1">
      <alignment horizontal="left" vertical="center" indent="1"/>
    </xf>
    <xf numFmtId="0" fontId="26" fillId="6" borderId="6" xfId="0" applyFont="1" applyFill="1" applyBorder="1" applyAlignment="1">
      <alignment horizontal="center" vertical="center"/>
    </xf>
    <xf numFmtId="0" fontId="26" fillId="6" borderId="7" xfId="0" applyFont="1" applyFill="1" applyBorder="1" applyAlignment="1">
      <alignment horizontal="center" vertical="center"/>
    </xf>
    <xf numFmtId="0" fontId="26" fillId="14" borderId="7" xfId="0" applyFont="1" applyFill="1" applyBorder="1" applyAlignment="1">
      <alignment horizontal="center" vertical="center"/>
    </xf>
    <xf numFmtId="0" fontId="32" fillId="4" borderId="8" xfId="0" applyFont="1" applyFill="1" applyBorder="1" applyAlignment="1">
      <alignment horizontal="center" vertical="center" textRotation="90"/>
    </xf>
    <xf numFmtId="0" fontId="32" fillId="4" borderId="10" xfId="0" applyFont="1" applyFill="1" applyBorder="1" applyAlignment="1">
      <alignment horizontal="center" vertical="center" textRotation="90"/>
    </xf>
    <xf numFmtId="0" fontId="32" fillId="4" borderId="9" xfId="0" applyFont="1" applyFill="1" applyBorder="1" applyAlignment="1">
      <alignment horizontal="center" vertical="center" textRotation="90"/>
    </xf>
    <xf numFmtId="0" fontId="26" fillId="12" borderId="7" xfId="0" applyFont="1" applyFill="1" applyBorder="1" applyAlignment="1">
      <alignment horizontal="center" vertical="center"/>
    </xf>
    <xf numFmtId="9" fontId="28" fillId="28" borderId="6" xfId="0" applyNumberFormat="1" applyFont="1" applyFill="1" applyBorder="1" applyAlignment="1">
      <alignment horizontal="center" vertical="center"/>
    </xf>
    <xf numFmtId="9" fontId="28" fillId="28" borderId="11" xfId="0" applyNumberFormat="1" applyFont="1" applyFill="1" applyBorder="1" applyAlignment="1">
      <alignment horizontal="center" vertical="center"/>
    </xf>
    <xf numFmtId="0" fontId="26" fillId="21" borderId="7" xfId="0" applyFont="1" applyFill="1" applyBorder="1" applyAlignment="1">
      <alignment horizontal="center" vertical="center"/>
    </xf>
    <xf numFmtId="0" fontId="26" fillId="21" borderId="11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26" fillId="22" borderId="6" xfId="0" applyFont="1" applyFill="1" applyBorder="1" applyAlignment="1">
      <alignment horizontal="right" vertical="center" indent="1"/>
    </xf>
    <xf numFmtId="0" fontId="26" fillId="22" borderId="7" xfId="0" applyFont="1" applyFill="1" applyBorder="1" applyAlignment="1">
      <alignment horizontal="right" vertical="center" indent="1"/>
    </xf>
    <xf numFmtId="0" fontId="12" fillId="2" borderId="5" xfId="0" applyFont="1" applyFill="1" applyBorder="1" applyAlignment="1">
      <alignment horizontal="center" vertical="center"/>
    </xf>
    <xf numFmtId="0" fontId="18" fillId="12" borderId="5" xfId="0" applyFont="1" applyFill="1" applyBorder="1" applyAlignment="1">
      <alignment horizontal="center" vertic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BA8CDC"/>
      <color rgb="FF9F5FCF"/>
      <color rgb="FF0062AC"/>
      <color rgb="FF0078D2"/>
      <color rgb="FF0070C4"/>
      <color rgb="FF0081E2"/>
      <color rgb="FF007DDA"/>
      <color rgb="FF008080"/>
      <color rgb="FF80B5C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83483</xdr:colOff>
      <xdr:row>1</xdr:row>
      <xdr:rowOff>174812</xdr:rowOff>
    </xdr:from>
    <xdr:ext cx="4533901" cy="447675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EAC7C07-2527-4792-BE62-C0180AC85F66}"/>
            </a:ext>
          </a:extLst>
        </xdr:cNvPr>
        <xdr:cNvSpPr txBox="1"/>
      </xdr:nvSpPr>
      <xdr:spPr>
        <a:xfrm>
          <a:off x="1464608" y="231962"/>
          <a:ext cx="4533901" cy="447675"/>
        </a:xfrm>
        <a:prstGeom prst="roundRect">
          <a:avLst>
            <a:gd name="adj" fmla="val 0"/>
          </a:avLst>
        </a:prstGeom>
        <a:noFill/>
        <a:ln w="15875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182880" bIns="0" rtlCol="0" anchor="ctr">
          <a:noAutofit/>
        </a:bodyPr>
        <a:lstStyle/>
        <a:p>
          <a:pPr lvl="0" algn="l"/>
          <a:r>
            <a:rPr lang="en-IN" sz="2000" b="1" u="none">
              <a:solidFill>
                <a:schemeClr val="accent1"/>
              </a:solidFill>
              <a:latin typeface="Bahnschrift" panose="020B0502040204020203" pitchFamily="34" charset="0"/>
              <a:ea typeface="Open Sans" panose="020B0606030504020204" pitchFamily="34" charset="0"/>
              <a:cs typeface="Aharoni" panose="02010803020104030203" pitchFamily="2" charset="-79"/>
            </a:rPr>
            <a:t>Projek Portfolio Prioritization Matrix</a:t>
          </a:r>
          <a:endParaRPr lang="en-IN" sz="1800" b="1" u="none">
            <a:solidFill>
              <a:schemeClr val="accent1"/>
            </a:solidFill>
            <a:latin typeface="Bahnschrift" panose="020B0502040204020203" pitchFamily="34" charset="0"/>
            <a:ea typeface="Open Sans" panose="020B0606030504020204" pitchFamily="34" charset="0"/>
            <a:cs typeface="Aharoni" panose="02010803020104030203" pitchFamily="2" charset="-79"/>
          </a:endParaRPr>
        </a:p>
      </xdr:txBody>
    </xdr:sp>
    <xdr:clientData/>
  </xdr:oneCellAnchor>
  <xdr:oneCellAnchor>
    <xdr:from>
      <xdr:col>15</xdr:col>
      <xdr:colOff>207309</xdr:colOff>
      <xdr:row>1</xdr:row>
      <xdr:rowOff>146237</xdr:rowOff>
    </xdr:from>
    <xdr:ext cx="862544" cy="461729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DF581D5-4AC8-44C4-93D8-13746EFCDAAD}"/>
            </a:ext>
          </a:extLst>
        </xdr:cNvPr>
        <xdr:cNvSpPr txBox="1"/>
      </xdr:nvSpPr>
      <xdr:spPr>
        <a:xfrm>
          <a:off x="8664015" y="191061"/>
          <a:ext cx="862544" cy="4617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2400" b="0">
              <a:solidFill>
                <a:schemeClr val="bg1"/>
              </a:solidFill>
              <a:effectLst/>
              <a:latin typeface="Bahnschrift SemiBold" panose="020B0502040204020203" pitchFamily="34" charset="0"/>
            </a:rPr>
            <a:t>Logo</a:t>
          </a:r>
        </a:p>
      </xdr:txBody>
    </xdr:sp>
    <xdr:clientData/>
  </xdr:oneCellAnchor>
  <xdr:twoCellAnchor>
    <xdr:from>
      <xdr:col>14</xdr:col>
      <xdr:colOff>235884</xdr:colOff>
      <xdr:row>1</xdr:row>
      <xdr:rowOff>136712</xdr:rowOff>
    </xdr:from>
    <xdr:to>
      <xdr:col>15</xdr:col>
      <xdr:colOff>83484</xdr:colOff>
      <xdr:row>1</xdr:row>
      <xdr:rowOff>593912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36683562-CC5F-41C1-BC13-6936455E1425}"/>
            </a:ext>
          </a:extLst>
        </xdr:cNvPr>
        <xdr:cNvSpPr>
          <a:spLocks noChangeAspect="1"/>
        </xdr:cNvSpPr>
      </xdr:nvSpPr>
      <xdr:spPr>
        <a:xfrm>
          <a:off x="7172325" y="192741"/>
          <a:ext cx="452718" cy="457200"/>
        </a:xfrm>
        <a:prstGeom prst="ellipse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9EA208-ECB3-4D5F-93FC-19D66FE209C5}" name="Table2" displayName="Table2" ref="E10:E31" totalsRowShown="0" dataCellStyle="Percent">
  <autoFilter ref="E10:E31" xr:uid="{F10663A0-6526-41F9-8DE6-CC09B34D323B}"/>
  <tableColumns count="1">
    <tableColumn id="1" xr3:uid="{5D4F864F-B84A-4CF1-BA47-A05DEE8F6EBD}" name="Persen" dataCellStyle="Perc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Analysistabs CT MC1">
      <a:dk1>
        <a:srgbClr val="262626"/>
      </a:dk1>
      <a:lt1>
        <a:srgbClr val="FFFFFF"/>
      </a:lt1>
      <a:dk2>
        <a:srgbClr val="262626"/>
      </a:dk2>
      <a:lt2>
        <a:srgbClr val="FFFFFF"/>
      </a:lt2>
      <a:accent1>
        <a:srgbClr val="237DB9"/>
      </a:accent1>
      <a:accent2>
        <a:srgbClr val="15AA96"/>
      </a:accent2>
      <a:accent3>
        <a:srgbClr val="9BB955"/>
      </a:accent3>
      <a:accent4>
        <a:srgbClr val="F6AC33"/>
      </a:accent4>
      <a:accent5>
        <a:srgbClr val="CB4D3E"/>
      </a:accent5>
      <a:accent6>
        <a:srgbClr val="506174"/>
      </a:accent6>
      <a:hlink>
        <a:srgbClr val="FFFFFF"/>
      </a:hlink>
      <a:folHlink>
        <a:srgbClr val="595959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mail@perusahaan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EA887-173F-42B6-8D5A-DE6AC2C6895C}">
  <sheetPr>
    <tabColor rgb="FF92D050"/>
  </sheetPr>
  <dimension ref="A1:AA31"/>
  <sheetViews>
    <sheetView showGridLines="0" showRowColHeaders="0" tabSelected="1" topLeftCell="E4" zoomScale="85" zoomScaleNormal="85" workbookViewId="0">
      <selection activeCell="H5" sqref="H5"/>
    </sheetView>
  </sheetViews>
  <sheetFormatPr defaultColWidth="8.83984375" defaultRowHeight="14.4"/>
  <cols>
    <col min="1" max="4" width="4.15625" hidden="1" customWidth="1"/>
    <col min="5" max="5" width="0.3125" customWidth="1"/>
    <col min="6" max="6" width="8.47265625" customWidth="1"/>
    <col min="7" max="7" width="31.47265625" customWidth="1"/>
  </cols>
  <sheetData>
    <row r="1" spans="6:27" ht="4.5" customHeight="1"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6:27" ht="60.75" customHeight="1">
      <c r="F2" s="3"/>
      <c r="G2" s="1"/>
      <c r="H2" s="1"/>
      <c r="I2" s="1"/>
      <c r="J2" s="3"/>
      <c r="K2" s="3"/>
      <c r="L2" s="4" t="s">
        <v>0</v>
      </c>
      <c r="M2" s="5" t="s">
        <v>0</v>
      </c>
      <c r="N2" s="6" t="s">
        <v>0</v>
      </c>
      <c r="O2" s="7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spans="6:27" s="16" customFormat="1" ht="89.25" customHeight="1" thickBot="1"/>
    <row r="4" spans="6:27" s="42" customFormat="1" ht="33.75" customHeight="1" thickBot="1">
      <c r="H4" s="56" t="s">
        <v>37</v>
      </c>
      <c r="I4" s="57"/>
      <c r="J4" s="57"/>
      <c r="K4" s="57"/>
      <c r="L4" s="57"/>
      <c r="M4" s="58" t="s">
        <v>38</v>
      </c>
      <c r="N4" s="58"/>
      <c r="O4" s="58"/>
      <c r="P4" s="58"/>
      <c r="Q4" s="58"/>
      <c r="R4" s="62" t="s">
        <v>39</v>
      </c>
      <c r="S4" s="62"/>
      <c r="T4" s="62"/>
      <c r="U4" s="62"/>
      <c r="V4" s="62"/>
      <c r="W4" s="65" t="s">
        <v>5</v>
      </c>
      <c r="X4" s="65"/>
      <c r="Y4" s="65"/>
      <c r="Z4" s="65"/>
      <c r="AA4" s="66"/>
    </row>
    <row r="5" spans="6:27" ht="127.5" customHeight="1" thickBot="1">
      <c r="F5" s="67" t="s">
        <v>6</v>
      </c>
      <c r="G5" s="68"/>
      <c r="H5" s="33" t="str">
        <f>Weightings!I4</f>
        <v>P-Kreteria 1</v>
      </c>
      <c r="I5" s="34" t="str">
        <f>Weightings!J4</f>
        <v>P-Kreteria 2</v>
      </c>
      <c r="J5" s="33" t="str">
        <f>Weightings!K4</f>
        <v>P-Kreteria 3</v>
      </c>
      <c r="K5" s="34" t="str">
        <f>Weightings!L4</f>
        <v>P-Kreteria 4</v>
      </c>
      <c r="L5" s="33" t="str">
        <f>Weightings!M4</f>
        <v>P-Kreteria 5</v>
      </c>
      <c r="M5" s="35" t="str">
        <f>Weightings!I7</f>
        <v>W-Kreteria 1</v>
      </c>
      <c r="N5" s="36" t="str">
        <f>Weightings!J7</f>
        <v>W-Kreteria 2</v>
      </c>
      <c r="O5" s="35" t="str">
        <f>Weightings!K7</f>
        <v>W-Kreteria 3</v>
      </c>
      <c r="P5" s="36" t="str">
        <f>Weightings!L7</f>
        <v>W-Kreteria 4</v>
      </c>
      <c r="Q5" s="35" t="str">
        <f>Weightings!M7</f>
        <v>W-Kreteria 5</v>
      </c>
      <c r="R5" s="37" t="str">
        <f>Weightings!I10</f>
        <v>S-Kreteria 1</v>
      </c>
      <c r="S5" s="38" t="str">
        <f>Weightings!J10</f>
        <v>S-Kreteria 2</v>
      </c>
      <c r="T5" s="37" t="str">
        <f>Weightings!K10</f>
        <v>S-Kreteria 3</v>
      </c>
      <c r="U5" s="38" t="str">
        <f>Weightings!L10</f>
        <v>S-Kreteria 4</v>
      </c>
      <c r="V5" s="37" t="str">
        <f>Weightings!M10</f>
        <v>S-Kreteria 5</v>
      </c>
      <c r="W5" s="51" t="str">
        <f>H4</f>
        <v>PROJECT</v>
      </c>
      <c r="X5" s="51" t="str">
        <f>M4</f>
        <v>WORKSHOP</v>
      </c>
      <c r="Y5" s="51" t="str">
        <f>R4</f>
        <v>H S E</v>
      </c>
      <c r="Z5" s="15" t="s">
        <v>34</v>
      </c>
      <c r="AA5" s="32" t="s">
        <v>33</v>
      </c>
    </row>
    <row r="6" spans="6:27" s="40" customFormat="1" ht="31.5" customHeight="1" thickBot="1">
      <c r="F6" s="69" t="s">
        <v>7</v>
      </c>
      <c r="G6" s="70"/>
      <c r="H6" s="39">
        <f>Weightings!I5*Weightings!$G$5</f>
        <v>4.0000000000000008E-2</v>
      </c>
      <c r="I6" s="39">
        <f>Weightings!J5*Weightings!$G$5</f>
        <v>4.0000000000000008E-2</v>
      </c>
      <c r="J6" s="39">
        <f>Weightings!K5*Weightings!$G$5</f>
        <v>8.0000000000000016E-2</v>
      </c>
      <c r="K6" s="39">
        <f>Weightings!L5*Weightings!$G$5</f>
        <v>0.12</v>
      </c>
      <c r="L6" s="39">
        <f>Weightings!M5*Weightings!$G$5</f>
        <v>0.12</v>
      </c>
      <c r="M6" s="41">
        <f>Weightings!I8*Weightings!$G$8</f>
        <v>0.03</v>
      </c>
      <c r="N6" s="41">
        <f>Weightings!J8*Weightings!$G$8</f>
        <v>0.03</v>
      </c>
      <c r="O6" s="41">
        <f>Weightings!K8*Weightings!$G$8</f>
        <v>0.06</v>
      </c>
      <c r="P6" s="41">
        <f>Weightings!L8*Weightings!$G$8</f>
        <v>0.09</v>
      </c>
      <c r="Q6" s="41">
        <f>Weightings!M8*Weightings!$G$8</f>
        <v>0.09</v>
      </c>
      <c r="R6" s="39">
        <f>Weightings!I11*Weightings!$G$11</f>
        <v>0.03</v>
      </c>
      <c r="S6" s="39">
        <f>Weightings!J11*Weightings!$G$11</f>
        <v>0.03</v>
      </c>
      <c r="T6" s="39">
        <f>Weightings!K11*Weightings!$G$11</f>
        <v>0.06</v>
      </c>
      <c r="U6" s="39">
        <f>Weightings!L11*Weightings!$G$11</f>
        <v>0.09</v>
      </c>
      <c r="V6" s="39">
        <f>Weightings!M11*Weightings!$G$11</f>
        <v>0.09</v>
      </c>
      <c r="W6" s="41">
        <f>SUM(H6:L6)</f>
        <v>0.4</v>
      </c>
      <c r="X6" s="41">
        <f>SUM(M6:Q6)</f>
        <v>0.3</v>
      </c>
      <c r="Y6" s="41">
        <f>SUM(R6:V6)</f>
        <v>0.3</v>
      </c>
      <c r="Z6" s="63">
        <f>SUM(H6:V6)</f>
        <v>1</v>
      </c>
      <c r="AA6" s="64"/>
    </row>
    <row r="7" spans="6:27" ht="22.5" customHeight="1" thickBot="1">
      <c r="F7" s="59" t="s">
        <v>32</v>
      </c>
      <c r="G7" s="49" t="s">
        <v>8</v>
      </c>
      <c r="H7" s="43">
        <v>4</v>
      </c>
      <c r="I7" s="44">
        <v>5</v>
      </c>
      <c r="J7" s="43">
        <v>2</v>
      </c>
      <c r="K7" s="44">
        <v>5</v>
      </c>
      <c r="L7" s="43">
        <v>6</v>
      </c>
      <c r="M7" s="45">
        <v>4</v>
      </c>
      <c r="N7" s="44">
        <v>4</v>
      </c>
      <c r="O7" s="45">
        <v>4</v>
      </c>
      <c r="P7" s="44">
        <v>2</v>
      </c>
      <c r="Q7" s="45">
        <v>4</v>
      </c>
      <c r="R7" s="46">
        <v>6</v>
      </c>
      <c r="S7" s="44">
        <v>4</v>
      </c>
      <c r="T7" s="46">
        <v>4</v>
      </c>
      <c r="U7" s="44">
        <v>4</v>
      </c>
      <c r="V7" s="46">
        <v>2</v>
      </c>
      <c r="W7" s="47">
        <f>SUMPRODUCT($H$6:$L$6,H7:L7)</f>
        <v>1.84</v>
      </c>
      <c r="X7" s="47">
        <f>SUMPRODUCT($M$6:$Q$6,M7:Q7)</f>
        <v>1.02</v>
      </c>
      <c r="Y7" s="47">
        <f>SUMPRODUCT($R$6:$V$6,R7:V7)</f>
        <v>1.08</v>
      </c>
      <c r="Z7" s="50">
        <f>SUMPRODUCT($H$6:$V$6,H7:V7)</f>
        <v>3.9400000000000004</v>
      </c>
      <c r="AA7" s="48">
        <f>RANK(Z7,$Z$7:$Z$21)</f>
        <v>12</v>
      </c>
    </row>
    <row r="8" spans="6:27" ht="22.5" customHeight="1" thickBot="1">
      <c r="F8" s="60"/>
      <c r="G8" s="49" t="s">
        <v>9</v>
      </c>
      <c r="H8" s="43">
        <v>3</v>
      </c>
      <c r="I8" s="44">
        <v>9</v>
      </c>
      <c r="J8" s="43">
        <v>1</v>
      </c>
      <c r="K8" s="44">
        <v>8</v>
      </c>
      <c r="L8" s="43">
        <v>9</v>
      </c>
      <c r="M8" s="45">
        <v>10</v>
      </c>
      <c r="N8" s="44">
        <v>8</v>
      </c>
      <c r="O8" s="45">
        <v>3</v>
      </c>
      <c r="P8" s="44">
        <v>8</v>
      </c>
      <c r="Q8" s="45">
        <v>8</v>
      </c>
      <c r="R8" s="46">
        <v>9</v>
      </c>
      <c r="S8" s="44">
        <v>10</v>
      </c>
      <c r="T8" s="46">
        <v>8</v>
      </c>
      <c r="U8" s="44">
        <v>3</v>
      </c>
      <c r="V8" s="46">
        <v>8</v>
      </c>
      <c r="W8" s="47">
        <f t="shared" ref="W8:W21" si="0">SUMPRODUCT($H$6:$L$6,H8:L8)</f>
        <v>2.6</v>
      </c>
      <c r="X8" s="47">
        <f t="shared" ref="X8:X21" si="1">SUMPRODUCT($M$6:$Q$6,M8:Q8)</f>
        <v>2.16</v>
      </c>
      <c r="Y8" s="47">
        <f t="shared" ref="Y8:Y21" si="2">SUMPRODUCT($R$6:$V$6,R8:V8)</f>
        <v>2.04</v>
      </c>
      <c r="Z8" s="50">
        <f t="shared" ref="Z8:Z21" si="3">SUMPRODUCT($H$6:$V$6,H8:V8)</f>
        <v>6.799999999999998</v>
      </c>
      <c r="AA8" s="48">
        <f t="shared" ref="AA8:AA21" si="4">RANK(Z8,$Z$7:$Z$21)</f>
        <v>1</v>
      </c>
    </row>
    <row r="9" spans="6:27" ht="22.5" customHeight="1" thickBot="1">
      <c r="F9" s="60"/>
      <c r="G9" s="49" t="s">
        <v>10</v>
      </c>
      <c r="H9" s="43">
        <v>10</v>
      </c>
      <c r="I9" s="44">
        <v>6</v>
      </c>
      <c r="J9" s="43">
        <v>10</v>
      </c>
      <c r="K9" s="44">
        <v>3</v>
      </c>
      <c r="L9" s="43">
        <v>2</v>
      </c>
      <c r="M9" s="45">
        <v>2</v>
      </c>
      <c r="N9" s="44">
        <v>6</v>
      </c>
      <c r="O9" s="45">
        <v>5</v>
      </c>
      <c r="P9" s="44">
        <v>2</v>
      </c>
      <c r="Q9" s="45">
        <v>5</v>
      </c>
      <c r="R9" s="46">
        <v>2</v>
      </c>
      <c r="S9" s="44">
        <v>2</v>
      </c>
      <c r="T9" s="46">
        <v>6</v>
      </c>
      <c r="U9" s="44">
        <v>5</v>
      </c>
      <c r="V9" s="46">
        <v>2</v>
      </c>
      <c r="W9" s="47">
        <f t="shared" si="0"/>
        <v>2.04</v>
      </c>
      <c r="X9" s="47">
        <f t="shared" si="1"/>
        <v>1.17</v>
      </c>
      <c r="Y9" s="47">
        <f t="shared" si="2"/>
        <v>1.1099999999999999</v>
      </c>
      <c r="Z9" s="50">
        <f t="shared" si="3"/>
        <v>4.3199999999999994</v>
      </c>
      <c r="AA9" s="48">
        <f t="shared" si="4"/>
        <v>11</v>
      </c>
    </row>
    <row r="10" spans="6:27" ht="22.5" customHeight="1" thickBot="1">
      <c r="F10" s="60"/>
      <c r="G10" s="49" t="s">
        <v>11</v>
      </c>
      <c r="H10" s="43">
        <v>3</v>
      </c>
      <c r="I10" s="44">
        <v>9</v>
      </c>
      <c r="J10" s="43">
        <v>8</v>
      </c>
      <c r="K10" s="44">
        <v>8</v>
      </c>
      <c r="L10" s="43">
        <v>4</v>
      </c>
      <c r="M10" s="45">
        <v>8</v>
      </c>
      <c r="N10" s="44">
        <v>5</v>
      </c>
      <c r="O10" s="45">
        <v>6</v>
      </c>
      <c r="P10" s="44">
        <v>4</v>
      </c>
      <c r="Q10" s="45">
        <v>10</v>
      </c>
      <c r="R10" s="46">
        <v>4</v>
      </c>
      <c r="S10" s="44">
        <v>8</v>
      </c>
      <c r="T10" s="46">
        <v>5</v>
      </c>
      <c r="U10" s="44">
        <v>6</v>
      </c>
      <c r="V10" s="46">
        <v>4</v>
      </c>
      <c r="W10" s="47">
        <f t="shared" si="0"/>
        <v>2.56</v>
      </c>
      <c r="X10" s="47">
        <f t="shared" si="1"/>
        <v>2.0099999999999998</v>
      </c>
      <c r="Y10" s="47">
        <f t="shared" si="2"/>
        <v>1.56</v>
      </c>
      <c r="Z10" s="50">
        <f t="shared" si="3"/>
        <v>6.13</v>
      </c>
      <c r="AA10" s="48">
        <f t="shared" si="4"/>
        <v>3</v>
      </c>
    </row>
    <row r="11" spans="6:27" ht="22.5" customHeight="1" thickBot="1">
      <c r="F11" s="60"/>
      <c r="G11" s="49" t="s">
        <v>12</v>
      </c>
      <c r="H11" s="43">
        <v>10</v>
      </c>
      <c r="I11" s="44">
        <v>5</v>
      </c>
      <c r="J11" s="43">
        <v>6</v>
      </c>
      <c r="K11" s="44">
        <v>1</v>
      </c>
      <c r="L11" s="43">
        <v>3</v>
      </c>
      <c r="M11" s="45">
        <v>6</v>
      </c>
      <c r="N11" s="44">
        <v>10</v>
      </c>
      <c r="O11" s="45">
        <v>8</v>
      </c>
      <c r="P11" s="44">
        <v>8</v>
      </c>
      <c r="Q11" s="45">
        <v>7</v>
      </c>
      <c r="R11" s="46">
        <v>3</v>
      </c>
      <c r="S11" s="44">
        <v>6</v>
      </c>
      <c r="T11" s="46">
        <v>10</v>
      </c>
      <c r="U11" s="44">
        <v>8</v>
      </c>
      <c r="V11" s="46">
        <v>8</v>
      </c>
      <c r="W11" s="47">
        <f t="shared" si="0"/>
        <v>1.56</v>
      </c>
      <c r="X11" s="47">
        <f t="shared" si="1"/>
        <v>2.31</v>
      </c>
      <c r="Y11" s="47">
        <f t="shared" si="2"/>
        <v>2.3099999999999996</v>
      </c>
      <c r="Z11" s="50">
        <f t="shared" si="3"/>
        <v>6.1799999999999988</v>
      </c>
      <c r="AA11" s="48">
        <f t="shared" si="4"/>
        <v>2</v>
      </c>
    </row>
    <row r="12" spans="6:27" ht="22.5" customHeight="1" thickBot="1">
      <c r="F12" s="60"/>
      <c r="G12" s="49" t="s">
        <v>13</v>
      </c>
      <c r="H12" s="43">
        <v>8</v>
      </c>
      <c r="I12" s="44">
        <v>10</v>
      </c>
      <c r="J12" s="43">
        <v>7</v>
      </c>
      <c r="K12" s="44">
        <v>3</v>
      </c>
      <c r="L12" s="43">
        <v>4</v>
      </c>
      <c r="M12" s="45">
        <v>7</v>
      </c>
      <c r="N12" s="44">
        <v>7</v>
      </c>
      <c r="O12" s="45">
        <v>6</v>
      </c>
      <c r="P12" s="44">
        <v>3</v>
      </c>
      <c r="Q12" s="45">
        <v>2</v>
      </c>
      <c r="R12" s="46">
        <v>4</v>
      </c>
      <c r="S12" s="44">
        <v>7</v>
      </c>
      <c r="T12" s="46">
        <v>7</v>
      </c>
      <c r="U12" s="44">
        <v>6</v>
      </c>
      <c r="V12" s="46">
        <v>3</v>
      </c>
      <c r="W12" s="47">
        <f t="shared" si="0"/>
        <v>2.12</v>
      </c>
      <c r="X12" s="47">
        <f t="shared" si="1"/>
        <v>1.23</v>
      </c>
      <c r="Y12" s="47">
        <f t="shared" si="2"/>
        <v>1.56</v>
      </c>
      <c r="Z12" s="50">
        <f t="shared" si="3"/>
        <v>4.91</v>
      </c>
      <c r="AA12" s="48">
        <f t="shared" si="4"/>
        <v>8</v>
      </c>
    </row>
    <row r="13" spans="6:27" ht="22.5" customHeight="1" thickBot="1">
      <c r="F13" s="60"/>
      <c r="G13" s="49" t="s">
        <v>14</v>
      </c>
      <c r="H13" s="43">
        <v>3</v>
      </c>
      <c r="I13" s="44">
        <v>8</v>
      </c>
      <c r="J13" s="43">
        <v>7</v>
      </c>
      <c r="K13" s="44">
        <v>8</v>
      </c>
      <c r="L13" s="43">
        <v>3</v>
      </c>
      <c r="M13" s="45">
        <v>2</v>
      </c>
      <c r="N13" s="44">
        <v>3</v>
      </c>
      <c r="O13" s="45">
        <v>2</v>
      </c>
      <c r="P13" s="44">
        <v>4</v>
      </c>
      <c r="Q13" s="45">
        <v>1</v>
      </c>
      <c r="R13" s="46">
        <v>3</v>
      </c>
      <c r="S13" s="44">
        <v>2</v>
      </c>
      <c r="T13" s="46">
        <v>3</v>
      </c>
      <c r="U13" s="44">
        <v>2</v>
      </c>
      <c r="V13" s="46">
        <v>4</v>
      </c>
      <c r="W13" s="47">
        <f t="shared" si="0"/>
        <v>2.3199999999999998</v>
      </c>
      <c r="X13" s="47">
        <f t="shared" si="1"/>
        <v>0.72</v>
      </c>
      <c r="Y13" s="47">
        <f t="shared" si="2"/>
        <v>0.87</v>
      </c>
      <c r="Z13" s="50">
        <f t="shared" si="3"/>
        <v>3.9099999999999997</v>
      </c>
      <c r="AA13" s="48">
        <f t="shared" si="4"/>
        <v>13</v>
      </c>
    </row>
    <row r="14" spans="6:27" ht="22.5" customHeight="1" thickBot="1">
      <c r="F14" s="60"/>
      <c r="G14" s="49" t="s">
        <v>15</v>
      </c>
      <c r="H14" s="43">
        <v>3</v>
      </c>
      <c r="I14" s="44">
        <v>2</v>
      </c>
      <c r="J14" s="43">
        <v>6</v>
      </c>
      <c r="K14" s="44">
        <v>3</v>
      </c>
      <c r="L14" s="43">
        <v>1</v>
      </c>
      <c r="M14" s="45">
        <v>9</v>
      </c>
      <c r="N14" s="44">
        <v>1</v>
      </c>
      <c r="O14" s="45">
        <v>5</v>
      </c>
      <c r="P14" s="44">
        <v>9</v>
      </c>
      <c r="Q14" s="45">
        <v>2</v>
      </c>
      <c r="R14" s="46">
        <v>1</v>
      </c>
      <c r="S14" s="44">
        <v>9</v>
      </c>
      <c r="T14" s="46">
        <v>1</v>
      </c>
      <c r="U14" s="44">
        <v>5</v>
      </c>
      <c r="V14" s="46">
        <v>9</v>
      </c>
      <c r="W14" s="47">
        <f t="shared" si="0"/>
        <v>1.1600000000000001</v>
      </c>
      <c r="X14" s="47">
        <f t="shared" si="1"/>
        <v>1.59</v>
      </c>
      <c r="Y14" s="47">
        <f t="shared" si="2"/>
        <v>1.62</v>
      </c>
      <c r="Z14" s="50">
        <f t="shared" si="3"/>
        <v>4.37</v>
      </c>
      <c r="AA14" s="48">
        <f t="shared" si="4"/>
        <v>10</v>
      </c>
    </row>
    <row r="15" spans="6:27" ht="22.5" customHeight="1" thickBot="1">
      <c r="F15" s="60"/>
      <c r="G15" s="49" t="s">
        <v>16</v>
      </c>
      <c r="H15" s="43">
        <v>4</v>
      </c>
      <c r="I15" s="44">
        <v>1</v>
      </c>
      <c r="J15" s="43">
        <v>10</v>
      </c>
      <c r="K15" s="44">
        <v>1</v>
      </c>
      <c r="L15" s="43">
        <v>2</v>
      </c>
      <c r="M15" s="45">
        <v>1</v>
      </c>
      <c r="N15" s="44">
        <v>2</v>
      </c>
      <c r="O15" s="45">
        <v>5</v>
      </c>
      <c r="P15" s="44">
        <v>5</v>
      </c>
      <c r="Q15" s="45">
        <v>3</v>
      </c>
      <c r="R15" s="46">
        <v>2</v>
      </c>
      <c r="S15" s="44">
        <v>1</v>
      </c>
      <c r="T15" s="46">
        <v>2</v>
      </c>
      <c r="U15" s="44">
        <v>5</v>
      </c>
      <c r="V15" s="46">
        <v>5</v>
      </c>
      <c r="W15" s="47">
        <f t="shared" si="0"/>
        <v>1.36</v>
      </c>
      <c r="X15" s="47">
        <f t="shared" si="1"/>
        <v>1.1099999999999999</v>
      </c>
      <c r="Y15" s="47">
        <f t="shared" si="2"/>
        <v>1.1099999999999999</v>
      </c>
      <c r="Z15" s="50">
        <f t="shared" si="3"/>
        <v>3.58</v>
      </c>
      <c r="AA15" s="48">
        <f t="shared" si="4"/>
        <v>14</v>
      </c>
    </row>
    <row r="16" spans="6:27" ht="22.5" customHeight="1" thickBot="1">
      <c r="F16" s="60"/>
      <c r="G16" s="49" t="s">
        <v>17</v>
      </c>
      <c r="H16" s="43">
        <v>6</v>
      </c>
      <c r="I16" s="44">
        <v>10</v>
      </c>
      <c r="J16" s="43">
        <v>2</v>
      </c>
      <c r="K16" s="44">
        <v>10</v>
      </c>
      <c r="L16" s="43">
        <v>5</v>
      </c>
      <c r="M16" s="45">
        <v>6</v>
      </c>
      <c r="N16" s="44">
        <v>1</v>
      </c>
      <c r="O16" s="45">
        <v>1</v>
      </c>
      <c r="P16" s="44">
        <v>3</v>
      </c>
      <c r="Q16" s="45">
        <v>9</v>
      </c>
      <c r="R16" s="46">
        <v>5</v>
      </c>
      <c r="S16" s="44">
        <v>6</v>
      </c>
      <c r="T16" s="46">
        <v>1</v>
      </c>
      <c r="U16" s="44">
        <v>1</v>
      </c>
      <c r="V16" s="46">
        <v>3</v>
      </c>
      <c r="W16" s="47">
        <f t="shared" si="0"/>
        <v>2.6</v>
      </c>
      <c r="X16" s="47">
        <f t="shared" si="1"/>
        <v>1.35</v>
      </c>
      <c r="Y16" s="47">
        <f t="shared" si="2"/>
        <v>0.75</v>
      </c>
      <c r="Z16" s="50">
        <f t="shared" si="3"/>
        <v>4.6999999999999993</v>
      </c>
      <c r="AA16" s="48">
        <f t="shared" si="4"/>
        <v>9</v>
      </c>
    </row>
    <row r="17" spans="6:27" ht="22.5" customHeight="1" thickBot="1">
      <c r="F17" s="60"/>
      <c r="G17" s="49" t="s">
        <v>18</v>
      </c>
      <c r="H17" s="43">
        <v>4</v>
      </c>
      <c r="I17" s="44">
        <v>5</v>
      </c>
      <c r="J17" s="43">
        <v>6</v>
      </c>
      <c r="K17" s="44">
        <v>9</v>
      </c>
      <c r="L17" s="43">
        <v>6</v>
      </c>
      <c r="M17" s="45">
        <v>2</v>
      </c>
      <c r="N17" s="44">
        <v>1</v>
      </c>
      <c r="O17" s="45">
        <v>6</v>
      </c>
      <c r="P17" s="44">
        <v>9</v>
      </c>
      <c r="Q17" s="45">
        <v>6</v>
      </c>
      <c r="R17" s="46">
        <v>6</v>
      </c>
      <c r="S17" s="44">
        <v>2</v>
      </c>
      <c r="T17" s="46">
        <v>1</v>
      </c>
      <c r="U17" s="44">
        <v>6</v>
      </c>
      <c r="V17" s="46">
        <v>9</v>
      </c>
      <c r="W17" s="47">
        <f t="shared" si="0"/>
        <v>2.6400000000000006</v>
      </c>
      <c r="X17" s="47">
        <f t="shared" si="1"/>
        <v>1.7999999999999998</v>
      </c>
      <c r="Y17" s="47">
        <f t="shared" si="2"/>
        <v>1.65</v>
      </c>
      <c r="Z17" s="50">
        <f t="shared" si="3"/>
        <v>6.089999999999999</v>
      </c>
      <c r="AA17" s="48">
        <f t="shared" si="4"/>
        <v>4</v>
      </c>
    </row>
    <row r="18" spans="6:27" ht="22.5" customHeight="1" thickBot="1">
      <c r="F18" s="60"/>
      <c r="G18" s="49" t="s">
        <v>19</v>
      </c>
      <c r="H18" s="43">
        <v>10</v>
      </c>
      <c r="I18" s="44">
        <v>6</v>
      </c>
      <c r="J18" s="43">
        <v>10</v>
      </c>
      <c r="K18" s="44">
        <v>10</v>
      </c>
      <c r="L18" s="43">
        <v>8</v>
      </c>
      <c r="M18" s="45">
        <v>5</v>
      </c>
      <c r="N18" s="44">
        <v>10</v>
      </c>
      <c r="O18" s="45">
        <v>3</v>
      </c>
      <c r="P18" s="44">
        <v>2</v>
      </c>
      <c r="Q18" s="45">
        <v>1</v>
      </c>
      <c r="R18" s="46">
        <v>8</v>
      </c>
      <c r="S18" s="44">
        <v>5</v>
      </c>
      <c r="T18" s="46">
        <v>10</v>
      </c>
      <c r="U18" s="44">
        <v>3</v>
      </c>
      <c r="V18" s="46">
        <v>2</v>
      </c>
      <c r="W18" s="47">
        <f t="shared" si="0"/>
        <v>3.6000000000000005</v>
      </c>
      <c r="X18" s="47">
        <f t="shared" si="1"/>
        <v>0.8999999999999998</v>
      </c>
      <c r="Y18" s="47">
        <f t="shared" si="2"/>
        <v>1.44</v>
      </c>
      <c r="Z18" s="50">
        <f t="shared" si="3"/>
        <v>5.9399999999999995</v>
      </c>
      <c r="AA18" s="48">
        <f t="shared" si="4"/>
        <v>6</v>
      </c>
    </row>
    <row r="19" spans="6:27" ht="22.5" customHeight="1" thickBot="1">
      <c r="F19" s="60"/>
      <c r="G19" s="49" t="s">
        <v>20</v>
      </c>
      <c r="H19" s="43">
        <v>1</v>
      </c>
      <c r="I19" s="44">
        <v>6</v>
      </c>
      <c r="J19" s="43">
        <v>6</v>
      </c>
      <c r="K19" s="44">
        <v>7</v>
      </c>
      <c r="L19" s="43">
        <v>2</v>
      </c>
      <c r="M19" s="45">
        <v>4</v>
      </c>
      <c r="N19" s="44">
        <v>8</v>
      </c>
      <c r="O19" s="45">
        <v>8</v>
      </c>
      <c r="P19" s="44">
        <v>10</v>
      </c>
      <c r="Q19" s="45">
        <v>2</v>
      </c>
      <c r="R19" s="46">
        <v>2</v>
      </c>
      <c r="S19" s="44">
        <v>4</v>
      </c>
      <c r="T19" s="46">
        <v>8</v>
      </c>
      <c r="U19" s="44">
        <v>8</v>
      </c>
      <c r="V19" s="46">
        <v>10</v>
      </c>
      <c r="W19" s="47">
        <f t="shared" si="0"/>
        <v>1.84</v>
      </c>
      <c r="X19" s="47">
        <f t="shared" si="1"/>
        <v>1.9199999999999997</v>
      </c>
      <c r="Y19" s="47">
        <f t="shared" si="2"/>
        <v>2.2799999999999998</v>
      </c>
      <c r="Z19" s="50">
        <f t="shared" si="3"/>
        <v>6.0399999999999991</v>
      </c>
      <c r="AA19" s="48">
        <f t="shared" si="4"/>
        <v>5</v>
      </c>
    </row>
    <row r="20" spans="6:27" ht="22.5" customHeight="1" thickBot="1">
      <c r="F20" s="60"/>
      <c r="G20" s="49" t="s">
        <v>21</v>
      </c>
      <c r="H20" s="43">
        <v>10</v>
      </c>
      <c r="I20" s="44">
        <v>2</v>
      </c>
      <c r="J20" s="43">
        <v>4</v>
      </c>
      <c r="K20" s="44">
        <v>3</v>
      </c>
      <c r="L20" s="43">
        <v>3</v>
      </c>
      <c r="M20" s="45">
        <v>6</v>
      </c>
      <c r="N20" s="44">
        <v>1</v>
      </c>
      <c r="O20" s="45">
        <v>2</v>
      </c>
      <c r="P20" s="44">
        <v>3</v>
      </c>
      <c r="Q20" s="45">
        <v>4</v>
      </c>
      <c r="R20" s="46">
        <v>3</v>
      </c>
      <c r="S20" s="44">
        <v>6</v>
      </c>
      <c r="T20" s="46">
        <v>1</v>
      </c>
      <c r="U20" s="44">
        <v>2</v>
      </c>
      <c r="V20" s="46">
        <v>3</v>
      </c>
      <c r="W20" s="47">
        <f t="shared" si="0"/>
        <v>1.52</v>
      </c>
      <c r="X20" s="47">
        <f t="shared" si="1"/>
        <v>0.96</v>
      </c>
      <c r="Y20" s="47">
        <f t="shared" si="2"/>
        <v>0.78</v>
      </c>
      <c r="Z20" s="50">
        <f t="shared" si="3"/>
        <v>3.2600000000000002</v>
      </c>
      <c r="AA20" s="48">
        <f t="shared" si="4"/>
        <v>15</v>
      </c>
    </row>
    <row r="21" spans="6:27" ht="22.5" customHeight="1" thickBot="1">
      <c r="F21" s="61"/>
      <c r="G21" s="49" t="s">
        <v>22</v>
      </c>
      <c r="H21" s="43">
        <v>1</v>
      </c>
      <c r="I21" s="44">
        <v>2</v>
      </c>
      <c r="J21" s="43">
        <v>5</v>
      </c>
      <c r="K21" s="44">
        <v>8</v>
      </c>
      <c r="L21" s="43">
        <v>3</v>
      </c>
      <c r="M21" s="45">
        <v>9</v>
      </c>
      <c r="N21" s="44">
        <v>9</v>
      </c>
      <c r="O21" s="45">
        <v>8</v>
      </c>
      <c r="P21" s="44">
        <v>1</v>
      </c>
      <c r="Q21" s="45">
        <v>4</v>
      </c>
      <c r="R21" s="46">
        <v>3</v>
      </c>
      <c r="S21" s="44">
        <v>9</v>
      </c>
      <c r="T21" s="46">
        <v>9</v>
      </c>
      <c r="U21" s="44">
        <v>8</v>
      </c>
      <c r="V21" s="46">
        <v>1</v>
      </c>
      <c r="W21" s="47">
        <f t="shared" si="0"/>
        <v>1.8399999999999999</v>
      </c>
      <c r="X21" s="47">
        <f t="shared" si="1"/>
        <v>1.4700000000000002</v>
      </c>
      <c r="Y21" s="47">
        <f t="shared" si="2"/>
        <v>1.7100000000000002</v>
      </c>
      <c r="Z21" s="50">
        <f t="shared" si="3"/>
        <v>5.0199999999999987</v>
      </c>
      <c r="AA21" s="48">
        <f t="shared" si="4"/>
        <v>7</v>
      </c>
    </row>
    <row r="22" spans="6:27" ht="22.5" customHeight="1"/>
    <row r="30" spans="6:27" ht="36" customHeight="1">
      <c r="F30" s="9" t="s">
        <v>1</v>
      </c>
      <c r="G30" s="52" t="s">
        <v>35</v>
      </c>
      <c r="H30" s="53"/>
      <c r="I30" s="9" t="s">
        <v>2</v>
      </c>
      <c r="J30" s="54" t="s">
        <v>30</v>
      </c>
      <c r="K30" s="54"/>
      <c r="L30" s="54"/>
      <c r="M30" s="54"/>
      <c r="N30" s="10" t="s">
        <v>3</v>
      </c>
      <c r="O30" s="54" t="s">
        <v>31</v>
      </c>
      <c r="P30" s="55"/>
      <c r="Q30" s="55"/>
      <c r="R30" s="14"/>
      <c r="S30" s="14"/>
      <c r="T30" s="14"/>
      <c r="U30" s="14"/>
      <c r="V30" s="14"/>
      <c r="W30" s="14"/>
      <c r="X30" s="14"/>
      <c r="Y30" s="14"/>
      <c r="Z30" s="14"/>
      <c r="AA30" s="14"/>
    </row>
    <row r="31" spans="6:27" ht="9.75" customHeight="1"/>
  </sheetData>
  <mergeCells count="11">
    <mergeCell ref="F7:F21"/>
    <mergeCell ref="R4:V4"/>
    <mergeCell ref="Z6:AA6"/>
    <mergeCell ref="W4:AA4"/>
    <mergeCell ref="F5:G5"/>
    <mergeCell ref="F6:G6"/>
    <mergeCell ref="G30:H30"/>
    <mergeCell ref="J30:M30"/>
    <mergeCell ref="O30:Q30"/>
    <mergeCell ref="H4:L4"/>
    <mergeCell ref="M4:Q4"/>
  </mergeCells>
  <phoneticPr fontId="3" type="noConversion"/>
  <dataValidations count="1">
    <dataValidation type="list" allowBlank="1" showInputMessage="1" showErrorMessage="1" sqref="H7:V21" xr:uid="{9562B983-C162-4ED0-8410-CF8A86467DA2}">
      <formula1>"1,2,3,4,5,6,7,8,9,10"</formula1>
    </dataValidation>
  </dataValidations>
  <hyperlinks>
    <hyperlink ref="G30" r:id="rId1" xr:uid="{53D916F2-E4B8-4462-942C-DEFC4AD3804D}"/>
  </hyperlinks>
  <pageMargins left="0.2" right="0.2" top="0.75" bottom="0.75" header="0.3" footer="0.3"/>
  <pageSetup scale="60" orientation="landscape" r:id="rId2"/>
  <ignoredErrors>
    <ignoredError sqref="W7:Y21" formulaRange="1"/>
    <ignoredError sqref="J30" numberStoredAsText="1"/>
  </ignoredError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50C2E-2840-414A-AB41-4C1EC65328D9}">
  <sheetPr>
    <tabColor rgb="FF92D050"/>
  </sheetPr>
  <dimension ref="E1:O15"/>
  <sheetViews>
    <sheetView showGridLines="0" showRowColHeaders="0" workbookViewId="0">
      <selection activeCell="R4" sqref="R4"/>
    </sheetView>
  </sheetViews>
  <sheetFormatPr defaultColWidth="9.15625" defaultRowHeight="13.8"/>
  <cols>
    <col min="1" max="4" width="3.68359375" style="16" customWidth="1"/>
    <col min="5" max="5" width="4.47265625" style="16" customWidth="1"/>
    <col min="6" max="7" width="25" style="16" customWidth="1"/>
    <col min="8" max="8" width="1.47265625" style="16" customWidth="1"/>
    <col min="9" max="13" width="9.15625" style="16"/>
    <col min="14" max="14" width="10.68359375" style="16" bestFit="1" customWidth="1"/>
    <col min="15" max="15" width="4.47265625" style="16" customWidth="1"/>
    <col min="16" max="16384" width="9.15625" style="16"/>
  </cols>
  <sheetData>
    <row r="1" spans="5:15" ht="19.5" customHeight="1" thickBot="1"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</row>
    <row r="2" spans="5:15" ht="30" customHeight="1" thickBot="1">
      <c r="E2" s="19"/>
      <c r="F2" s="19"/>
      <c r="G2" s="19"/>
      <c r="H2" s="20"/>
      <c r="I2" s="72" t="s">
        <v>23</v>
      </c>
      <c r="J2" s="72"/>
      <c r="K2" s="72"/>
      <c r="L2" s="72"/>
      <c r="M2" s="72"/>
      <c r="N2" s="19"/>
      <c r="O2" s="19"/>
    </row>
    <row r="3" spans="5:15" ht="14.1" thickBot="1"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</row>
    <row r="4" spans="5:15" ht="84" customHeight="1" thickBot="1">
      <c r="E4" s="19"/>
      <c r="F4" s="71" t="s">
        <v>37</v>
      </c>
      <c r="G4" s="71"/>
      <c r="H4" s="21"/>
      <c r="I4" s="11" t="s">
        <v>40</v>
      </c>
      <c r="J4" s="11" t="s">
        <v>41</v>
      </c>
      <c r="K4" s="11" t="s">
        <v>42</v>
      </c>
      <c r="L4" s="11" t="s">
        <v>43</v>
      </c>
      <c r="M4" s="11" t="s">
        <v>44</v>
      </c>
      <c r="N4" s="22" t="s">
        <v>4</v>
      </c>
      <c r="O4" s="19"/>
    </row>
    <row r="5" spans="5:15" ht="24" customHeight="1" thickBot="1">
      <c r="E5" s="19"/>
      <c r="F5" s="23" t="s">
        <v>36</v>
      </c>
      <c r="G5" s="24">
        <v>0.4</v>
      </c>
      <c r="H5" s="25"/>
      <c r="I5" s="17">
        <v>0.1</v>
      </c>
      <c r="J5" s="17">
        <v>0.1</v>
      </c>
      <c r="K5" s="17">
        <v>0.2</v>
      </c>
      <c r="L5" s="17">
        <v>0.3</v>
      </c>
      <c r="M5" s="17">
        <v>0.3</v>
      </c>
      <c r="N5" s="24">
        <f>SUM(I5:M5)</f>
        <v>1</v>
      </c>
      <c r="O5" s="19"/>
    </row>
    <row r="6" spans="5:15" ht="14.1" thickBot="1"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</row>
    <row r="7" spans="5:15" ht="84" customHeight="1" thickBot="1">
      <c r="E7" s="19"/>
      <c r="F7" s="71" t="s">
        <v>38</v>
      </c>
      <c r="G7" s="71"/>
      <c r="H7" s="21"/>
      <c r="I7" s="11" t="s">
        <v>45</v>
      </c>
      <c r="J7" s="11" t="s">
        <v>46</v>
      </c>
      <c r="K7" s="11" t="s">
        <v>47</v>
      </c>
      <c r="L7" s="11" t="s">
        <v>48</v>
      </c>
      <c r="M7" s="11" t="s">
        <v>49</v>
      </c>
      <c r="N7" s="26" t="s">
        <v>4</v>
      </c>
      <c r="O7" s="19"/>
    </row>
    <row r="8" spans="5:15" ht="24" customHeight="1" thickBot="1">
      <c r="E8" s="19"/>
      <c r="F8" s="23" t="s">
        <v>36</v>
      </c>
      <c r="G8" s="27">
        <v>0.3</v>
      </c>
      <c r="H8" s="19"/>
      <c r="I8" s="13">
        <v>0.1</v>
      </c>
      <c r="J8" s="13">
        <v>0.1</v>
      </c>
      <c r="K8" s="13">
        <v>0.2</v>
      </c>
      <c r="L8" s="13">
        <v>0.3</v>
      </c>
      <c r="M8" s="13">
        <v>0.3</v>
      </c>
      <c r="N8" s="27">
        <f>SUM(I8:M8)</f>
        <v>1</v>
      </c>
      <c r="O8" s="19"/>
    </row>
    <row r="9" spans="5:15" ht="14.1" thickBot="1"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</row>
    <row r="10" spans="5:15" ht="84" customHeight="1" thickBot="1">
      <c r="E10" s="19"/>
      <c r="F10" s="71" t="s">
        <v>39</v>
      </c>
      <c r="G10" s="71"/>
      <c r="H10" s="21"/>
      <c r="I10" s="11" t="s">
        <v>24</v>
      </c>
      <c r="J10" s="11" t="s">
        <v>25</v>
      </c>
      <c r="K10" s="11" t="s">
        <v>26</v>
      </c>
      <c r="L10" s="11" t="s">
        <v>27</v>
      </c>
      <c r="M10" s="11" t="s">
        <v>28</v>
      </c>
      <c r="N10" s="28" t="s">
        <v>4</v>
      </c>
      <c r="O10" s="19"/>
    </row>
    <row r="11" spans="5:15" ht="24" customHeight="1" thickBot="1">
      <c r="E11" s="19"/>
      <c r="F11" s="23" t="s">
        <v>36</v>
      </c>
      <c r="G11" s="29">
        <v>0.3</v>
      </c>
      <c r="H11" s="19"/>
      <c r="I11" s="18">
        <v>0.1</v>
      </c>
      <c r="J11" s="18">
        <v>0.1</v>
      </c>
      <c r="K11" s="18">
        <v>0.2</v>
      </c>
      <c r="L11" s="18">
        <v>0.3</v>
      </c>
      <c r="M11" s="18">
        <v>0.3</v>
      </c>
      <c r="N11" s="29">
        <f>SUM(I11:M11)</f>
        <v>1</v>
      </c>
      <c r="O11" s="19"/>
    </row>
    <row r="12" spans="5:15" ht="14.1" thickBot="1"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</row>
    <row r="13" spans="5:15" ht="37.5" customHeight="1" thickBot="1">
      <c r="E13" s="19"/>
      <c r="F13" s="30" t="s">
        <v>4</v>
      </c>
      <c r="G13" s="31">
        <f>G5+G8+G11</f>
        <v>1</v>
      </c>
      <c r="H13" s="19"/>
      <c r="I13" s="19"/>
      <c r="J13" s="19"/>
      <c r="K13" s="19"/>
      <c r="L13" s="19"/>
      <c r="M13" s="19"/>
      <c r="N13" s="19"/>
      <c r="O13" s="19"/>
    </row>
    <row r="14" spans="5:15" ht="19.5" customHeight="1" thickBot="1"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</row>
    <row r="15" spans="5:15" ht="14.1" thickBot="1"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</row>
  </sheetData>
  <mergeCells count="4">
    <mergeCell ref="F10:G10"/>
    <mergeCell ref="F7:G7"/>
    <mergeCell ref="F4:G4"/>
    <mergeCell ref="I2:M2"/>
  </mergeCells>
  <phoneticPr fontId="3" type="noConversion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AF602F1-9CA6-42DF-B57D-9E2D0649E497}">
          <x14:formula1>
            <xm:f>List!$E$11:$E$31</xm:f>
          </x14:formula1>
          <xm:sqref>I5:M5 I8:M8 I11:M11 G5 G8 G11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086FB-2A0B-4EC6-9B7E-7D1268404851}">
  <sheetPr>
    <tabColor rgb="FFFFC000"/>
  </sheetPr>
  <dimension ref="E10:E31"/>
  <sheetViews>
    <sheetView topLeftCell="A7" workbookViewId="0">
      <selection activeCell="E28" sqref="E28"/>
    </sheetView>
  </sheetViews>
  <sheetFormatPr defaultColWidth="8.83984375" defaultRowHeight="14.4"/>
  <cols>
    <col min="5" max="5" width="10" customWidth="1"/>
  </cols>
  <sheetData>
    <row r="10" spans="5:5">
      <c r="E10" t="s">
        <v>29</v>
      </c>
    </row>
    <row r="11" spans="5:5">
      <c r="E11" s="12">
        <v>0</v>
      </c>
    </row>
    <row r="12" spans="5:5">
      <c r="E12" s="12">
        <v>0.05</v>
      </c>
    </row>
    <row r="13" spans="5:5">
      <c r="E13" s="12">
        <v>0.1</v>
      </c>
    </row>
    <row r="14" spans="5:5">
      <c r="E14" s="12">
        <v>0.15</v>
      </c>
    </row>
    <row r="15" spans="5:5">
      <c r="E15" s="12">
        <v>0.2</v>
      </c>
    </row>
    <row r="16" spans="5:5">
      <c r="E16" s="12">
        <v>0.25</v>
      </c>
    </row>
    <row r="17" spans="5:5">
      <c r="E17" s="12">
        <v>0.3</v>
      </c>
    </row>
    <row r="18" spans="5:5">
      <c r="E18" s="12">
        <v>0.35</v>
      </c>
    </row>
    <row r="19" spans="5:5">
      <c r="E19" s="12">
        <v>0.4</v>
      </c>
    </row>
    <row r="20" spans="5:5">
      <c r="E20" s="12">
        <v>0.45</v>
      </c>
    </row>
    <row r="21" spans="5:5">
      <c r="E21" s="12">
        <v>0.5</v>
      </c>
    </row>
    <row r="22" spans="5:5">
      <c r="E22" s="12">
        <v>0.55000000000000004</v>
      </c>
    </row>
    <row r="23" spans="5:5">
      <c r="E23" s="12">
        <v>0.6</v>
      </c>
    </row>
    <row r="24" spans="5:5">
      <c r="E24" s="12">
        <v>0.65</v>
      </c>
    </row>
    <row r="25" spans="5:5">
      <c r="E25" s="12">
        <v>0.7</v>
      </c>
    </row>
    <row r="26" spans="5:5">
      <c r="E26" s="12">
        <v>0.75</v>
      </c>
    </row>
    <row r="27" spans="5:5">
      <c r="E27" s="12">
        <v>0.8</v>
      </c>
    </row>
    <row r="28" spans="5:5">
      <c r="E28" s="12">
        <v>0.85</v>
      </c>
    </row>
    <row r="29" spans="5:5">
      <c r="E29" s="12">
        <v>0.9</v>
      </c>
    </row>
    <row r="30" spans="5:5">
      <c r="E30" s="12">
        <v>0.95</v>
      </c>
    </row>
    <row r="31" spans="5:5">
      <c r="E31" s="12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Scores</vt:lpstr>
      <vt:lpstr>Weightings</vt:lpstr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Bhaskara</dc:creator>
  <cp:lastModifiedBy>AERO</cp:lastModifiedBy>
  <cp:lastPrinted>2020-04-13T10:06:46Z</cp:lastPrinted>
  <dcterms:created xsi:type="dcterms:W3CDTF">2020-01-11T06:02:55Z</dcterms:created>
  <dcterms:modified xsi:type="dcterms:W3CDTF">2025-01-30T08:54:14Z</dcterms:modified>
</cp:coreProperties>
</file>